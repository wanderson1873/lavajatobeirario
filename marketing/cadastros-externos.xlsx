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dastros" sheetId="1" state="visible" r:id="rId1"/>
    <sheet name="Resumo" sheetId="2" state="visible" r:id="rId2"/>
    <sheet name="Dados padrão" sheetId="3" state="visible" r:id="rId3"/>
    <sheet name="Não usar" sheetId="4" state="visible" r:id="rId4"/>
    <sheet name="Dica MEI" sheetId="5" state="visible" r:id="rId5"/>
  </sheets>
  <definedNames>
    <definedName name="_xlnm._FilterDatabase" localSheetId="0" hidden="1">'Cadastros'!$A$4:$L$19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</font>
    <font>
      <name val="Arial"/>
      <sz val="10"/>
    </font>
    <font>
      <name val="Arial"/>
    </font>
    <font>
      <name val="Arial"/>
      <b val="1"/>
    </font>
    <font>
      <name val="Arial"/>
      <b val="1"/>
      <sz val="10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0161A"/>
      </patternFill>
    </fill>
    <fill>
      <patternFill patternType="solid">
        <fgColor rgb="00FFF2CC"/>
      </patternFill>
    </fill>
    <fill>
      <patternFill patternType="solid">
        <fgColor rgb="00F2F5F5"/>
      </patternFill>
    </fill>
  </fills>
  <borders count="2">
    <border>
      <left/>
      <right/>
      <top/>
      <bottom/>
      <diagonal/>
    </border>
    <border>
      <left style="thin">
        <color rgb="00DCE3E3"/>
      </left>
      <right style="thin">
        <color rgb="00DCE3E3"/>
      </right>
      <top style="thin">
        <color rgb="00DCE3E3"/>
      </top>
      <bottom style="thin">
        <color rgb="00DCE3E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164" fontId="4" fillId="3" borderId="1" applyAlignment="1" pivotButton="0" quotePrefix="0" xfId="0">
      <alignment vertical="top" wrapText="1"/>
    </xf>
    <xf numFmtId="0" fontId="3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9" fontId="6" fillId="0" borderId="0" pivotButton="0" quotePrefix="0" xfId="0"/>
    <xf numFmtId="0" fontId="7" fillId="4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Claude</author>
  </authors>
  <commentList>
    <comment ref="F4" authorId="0" shapeId="0">
      <text>
        <t>"Verificar no cadastro": não deu para confirmar sem abrir conta. O lava jato não tem CNPJ; se o site exigir, marque "Não se aplica".</t>
      </text>
    </comment>
    <comment ref="H4" authorId="0" shapeId="0">
      <text>
        <t>Os parâmetros utm_ mostram no Google Analytics (Aquisição → Origem/mídia) quantas visitas cada cadastro trouxe. A página aberta é a home normal.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2" customWidth="1" min="3" max="3"/>
    <col width="34" customWidth="1" min="4" max="4"/>
    <col width="16" customWidth="1" min="5" max="5"/>
    <col width="15" customWidth="1" min="6" max="6"/>
    <col width="52" customWidth="1" min="7" max="7"/>
    <col width="40" customWidth="1" min="8" max="8"/>
    <col width="14" customWidth="1" min="9" max="9"/>
    <col width="12" customWidth="1" min="10" max="10"/>
    <col width="30" customWidth="1" min="11" max="11"/>
    <col width="34" customWidth="1" min="12" max="12"/>
  </cols>
  <sheetData>
    <row r="1">
      <c r="A1" s="1" t="inlineStr">
        <is>
          <t>Cadastros externos — Lava Jato Beira Rio</t>
        </is>
      </c>
    </row>
    <row r="2" ht="34" customHeight="1">
      <c r="A2" s="2" t="inlineStr">
        <is>
          <t>Como usar: siga a ordem da coluna Prioridade. Preencha só as colunas amarelas (Status, Data, Link do perfil, Observações). Em todo cadastro copie nome, endereço e descrição da aba "Dados padrão" — exatamente iguais. Links conferidos em 16/09/2026. A linha 1 (Google) é o exemplo de preenchimento.</t>
        </is>
      </c>
    </row>
    <row r="4">
      <c r="A4" s="3" t="inlineStr">
        <is>
          <t>Prioridade</t>
        </is>
      </c>
      <c r="B4" s="3" t="inlineStr">
        <is>
          <t>Site</t>
        </is>
      </c>
      <c r="C4" s="3" t="inlineStr">
        <is>
          <t>Tipo</t>
        </is>
      </c>
      <c r="D4" s="3" t="inlineStr">
        <is>
          <t>Onde cadastrar</t>
        </is>
      </c>
      <c r="E4" s="3" t="inlineStr">
        <is>
          <t>Custo</t>
        </is>
      </c>
      <c r="F4" s="3" t="inlineStr">
        <is>
          <t>Exige CNPJ?</t>
        </is>
      </c>
      <c r="G4" s="3" t="inlineStr">
        <is>
          <t>Como fazer</t>
        </is>
      </c>
      <c r="H4" s="3" t="inlineStr">
        <is>
          <t>Link do site para colar (com rastreio)</t>
        </is>
      </c>
      <c r="I4" s="3" t="inlineStr">
        <is>
          <t>Status</t>
        </is>
      </c>
      <c r="J4" s="3" t="inlineStr">
        <is>
          <t>Data</t>
        </is>
      </c>
      <c r="K4" s="3" t="inlineStr">
        <is>
          <t>Link do perfil criado</t>
        </is>
      </c>
      <c r="L4" s="3" t="inlineStr">
        <is>
          <t>Observações</t>
        </is>
      </c>
    </row>
    <row r="5" ht="80" customHeight="1">
      <c r="A5" s="4" t="n">
        <v>1</v>
      </c>
      <c r="B5" s="4" t="inlineStr">
        <is>
          <t>Perfil da Empresa no Google</t>
        </is>
      </c>
      <c r="C5" s="4" t="inlineStr">
        <is>
          <t>Mapa / busca</t>
        </is>
      </c>
      <c r="D5" s="4" t="inlineStr">
        <is>
          <t>https://business.google.com</t>
        </is>
      </c>
      <c r="E5" s="4" t="inlineStr">
        <is>
          <t>Grátis</t>
        </is>
      </c>
      <c r="F5" s="4" t="inlineStr">
        <is>
          <t>Não</t>
        </is>
      </c>
      <c r="G5" s="4" t="inlineStr">
        <is>
          <t>Já existe e está verificado. Falta: cadastrar os serviços com preço, trocar o link do site pelo link com rastreio ao lado e postar 1 foto por semana.</t>
        </is>
      </c>
      <c r="H5" s="4" t="inlineStr">
        <is>
          <t>https://lavajatobeirario.com.br/?utm_source=google&amp;utm_medium=cadastro&amp;utm_campaign=perfil</t>
        </is>
      </c>
      <c r="I5" s="5" t="inlineStr">
        <is>
          <t>Em andamento</t>
        </is>
      </c>
      <c r="J5" s="6" t="inlineStr"/>
      <c r="K5" s="5" t="inlineStr"/>
      <c r="L5" s="5" t="inlineStr">
        <is>
          <t>O mais importante de todos: é o que aparece no mapa.</t>
        </is>
      </c>
    </row>
    <row r="6" ht="80" customHeight="1">
      <c r="A6" s="4" t="n">
        <v>2</v>
      </c>
      <c r="B6" s="4" t="inlineStr">
        <is>
          <t>Bing Places</t>
        </is>
      </c>
      <c r="C6" s="4" t="inlineStr">
        <is>
          <t>Mapa / busca (Bing, Copilot, Windows)</t>
        </is>
      </c>
      <c r="D6" s="4" t="inlineStr">
        <is>
          <t>https://www.bingplaces.com</t>
        </is>
      </c>
      <c r="E6" s="4" t="inlineStr">
        <is>
          <t>Grátis</t>
        </is>
      </c>
      <c r="F6" s="4" t="inlineStr">
        <is>
          <t>Não</t>
        </is>
      </c>
      <c r="G6" s="4" t="inlineStr">
        <is>
          <t>Entre com uma conta Microsoft e escolha importar do Perfil da Empresa no Google: ele puxa nome, endereço, horário e fotos de uma vez.</t>
        </is>
      </c>
      <c r="H6" s="4" t="inlineStr">
        <is>
          <t>https://lavajatobeirario.com.br/?utm_source=bing&amp;utm_medium=cadastro</t>
        </is>
      </c>
      <c r="I6" s="5" t="inlineStr">
        <is>
          <t>A fazer</t>
        </is>
      </c>
      <c r="J6" s="6" t="inlineStr"/>
      <c r="K6" s="5" t="inlineStr"/>
      <c r="L6" s="5" t="inlineStr"/>
    </row>
    <row r="7" ht="80" customHeight="1">
      <c r="A7" s="4" t="n">
        <v>3</v>
      </c>
      <c r="B7" s="4" t="inlineStr">
        <is>
          <t>Apple Business Connect</t>
        </is>
      </c>
      <c r="C7" s="4" t="inlineStr">
        <is>
          <t>Mapa (iPhone: Apple Mapas, Siri)</t>
        </is>
      </c>
      <c r="D7" s="4" t="inlineStr">
        <is>
          <t>https://businessconnect.apple.com</t>
        </is>
      </c>
      <c r="E7" s="4" t="inlineStr">
        <is>
          <t>Grátis</t>
        </is>
      </c>
      <c r="F7" s="4" t="inlineStr">
        <is>
          <t>Pode pedir comprovante</t>
        </is>
      </c>
      <c r="G7" s="4" t="inlineStr">
        <is>
          <t>Entre com um Apple ID, procure "Lava Jato Beira Rio" no mapa ou adicione o local. A Apple pode pedir documento que comprove o negócio; sem CNPJ, tente com conta de luz ou água do endereço.</t>
        </is>
      </c>
      <c r="H7" s="4" t="inlineStr">
        <is>
          <t>https://lavajatobeirario.com.br/?utm_source=apple&amp;utm_medium=cadastro</t>
        </is>
      </c>
      <c r="I7" s="5" t="inlineStr">
        <is>
          <t>A fazer</t>
        </is>
      </c>
      <c r="J7" s="6" t="inlineStr"/>
      <c r="K7" s="5" t="inlineStr"/>
      <c r="L7" s="5" t="inlineStr"/>
    </row>
    <row r="8" ht="80" customHeight="1">
      <c r="A8" s="4" t="n">
        <v>4</v>
      </c>
      <c r="B8" s="4" t="inlineStr">
        <is>
          <t>Waze</t>
        </is>
      </c>
      <c r="C8" s="4" t="inlineStr">
        <is>
          <t>Navegação</t>
        </is>
      </c>
      <c r="D8" s="4" t="inlineStr">
        <is>
          <t>App Waze → Menu → Adicionar local (ou https://www.waze.com/editor)</t>
        </is>
      </c>
      <c r="E8" s="4" t="inlineStr">
        <is>
          <t>Grátis</t>
        </is>
      </c>
      <c r="F8" s="4" t="inlineStr">
        <is>
          <t>Não</t>
        </is>
      </c>
      <c r="G8" s="4" t="inlineStr">
        <is>
          <t>Estando no lava jato, adicione o local com foto da fachada, categoria Lava-rápido, telefone e site. Um editor voluntário aprova.</t>
        </is>
      </c>
      <c r="H8" s="4" t="inlineStr">
        <is>
          <t>https://lavajatobeirario.com.br</t>
        </is>
      </c>
      <c r="I8" s="5" t="inlineStr">
        <is>
          <t>A fazer</t>
        </is>
      </c>
      <c r="J8" s="6" t="inlineStr"/>
      <c r="K8" s="5" t="inlineStr"/>
      <c r="L8" s="5" t="inlineStr">
        <is>
          <t>Use o link simples, sem rastreio.</t>
        </is>
      </c>
    </row>
    <row r="9" ht="80" customHeight="1">
      <c r="A9" s="4" t="n">
        <v>5</v>
      </c>
      <c r="B9" s="4" t="inlineStr">
        <is>
          <t>Foursquare</t>
        </is>
      </c>
      <c r="C9" s="4" t="inlineStr">
        <is>
          <t>Base de locais (alimenta vários apps)</t>
        </is>
      </c>
      <c r="D9" s="4" t="inlineStr">
        <is>
          <t>https://foursquare.com/venue/claim</t>
        </is>
      </c>
      <c r="E9" s="4" t="inlineStr">
        <is>
          <t>Grátis</t>
        </is>
      </c>
      <c r="F9" s="4" t="inlineStr">
        <is>
          <t>Não</t>
        </is>
      </c>
      <c r="G9" s="4" t="inlineStr">
        <is>
          <t>Procure o lava jato; se não existir, crie o local. Para reivindicar, confirme pelo telefone.</t>
        </is>
      </c>
      <c r="H9" s="4" t="inlineStr">
        <is>
          <t>https://lavajatobeirario.com.br/?utm_source=foursquare&amp;utm_medium=cadastro</t>
        </is>
      </c>
      <c r="I9" s="5" t="inlineStr">
        <is>
          <t>A fazer</t>
        </is>
      </c>
      <c r="J9" s="6" t="inlineStr"/>
      <c r="K9" s="5" t="inlineStr"/>
      <c r="L9" s="5" t="inlineStr">
        <is>
          <t>Existe opção paga (US$ 20) para acelerar — não precisa.</t>
        </is>
      </c>
    </row>
    <row r="10" ht="80" customHeight="1">
      <c r="A10" s="4" t="n">
        <v>6</v>
      </c>
      <c r="B10" s="4" t="inlineStr">
        <is>
          <t>OpenStreetMap</t>
        </is>
      </c>
      <c r="C10" s="4" t="inlineStr">
        <is>
          <t>Mapa aberto (usado por muitos apps)</t>
        </is>
      </c>
      <c r="D10" s="4" t="inlineStr">
        <is>
          <t>https://www.openstreetmap.org</t>
        </is>
      </c>
      <c r="E10" s="4" t="inlineStr">
        <is>
          <t>Grátis</t>
        </is>
      </c>
      <c r="F10" s="4" t="inlineStr">
        <is>
          <t>Não</t>
        </is>
      </c>
      <c r="G10" s="4" t="inlineStr">
        <is>
          <t>Crie conta, clique em Editar no local exato e adicione um ponto "Lava-rápido" (car wash) com nome, telefone, site e horário (Mo-Sa 07:00-17:00).</t>
        </is>
      </c>
      <c r="H10" s="4" t="inlineStr">
        <is>
          <t>https://lavajatobeirario.com.br</t>
        </is>
      </c>
      <c r="I10" s="5" t="inlineStr">
        <is>
          <t>A fazer</t>
        </is>
      </c>
      <c r="J10" s="6" t="inlineStr"/>
      <c r="K10" s="5" t="inlineStr"/>
      <c r="L10" s="5" t="inlineStr"/>
    </row>
    <row r="11" ht="80" customHeight="1">
      <c r="A11" s="4" t="n">
        <v>7</v>
      </c>
      <c r="B11" s="4" t="inlineStr">
        <is>
          <t>GuiaMais</t>
        </is>
      </c>
      <c r="C11" s="4" t="inlineStr">
        <is>
          <t>Guia de empresas</t>
        </is>
      </c>
      <c r="D11" s="4" t="inlineStr">
        <is>
          <t>https://cadastro.guiamais.com.br</t>
        </is>
      </c>
      <c r="E11" s="4" t="inlineStr">
        <is>
          <t>Grátis (plano básico)</t>
        </is>
      </c>
      <c r="F11" s="4" t="inlineStr">
        <is>
          <t>Verificar no cadastro</t>
        </is>
      </c>
      <c r="G11" s="4" t="inlineStr">
        <is>
          <t>Cadastro básico gratuito. Recuse os planos pagos oferecidos depois.</t>
        </is>
      </c>
      <c r="H11" s="4" t="inlineStr">
        <is>
          <t>https://lavajatobeirario.com.br/?utm_source=guiamais&amp;utm_medium=cadastro</t>
        </is>
      </c>
      <c r="I11" s="5" t="inlineStr">
        <is>
          <t>A fazer</t>
        </is>
      </c>
      <c r="J11" s="6" t="inlineStr"/>
      <c r="K11" s="5" t="inlineStr"/>
      <c r="L11" s="5" t="inlineStr">
        <is>
          <t>Costumam ligar oferecendo anúncio pago — não é necessário.</t>
        </is>
      </c>
    </row>
    <row r="12" ht="80" customHeight="1">
      <c r="A12" s="4" t="n">
        <v>8</v>
      </c>
      <c r="B12" s="4" t="inlineStr">
        <is>
          <t>Solutudo</t>
        </is>
      </c>
      <c r="C12" s="4" t="inlineStr">
        <is>
          <t>Guia de empresas</t>
        </is>
      </c>
      <c r="D12" s="4" t="inlineStr">
        <is>
          <t>https://www.solutudo.com.br (link "Cadastre sua empresa")</t>
        </is>
      </c>
      <c r="E12" s="4" t="inlineStr">
        <is>
          <t>Grátis (plano básico)</t>
        </is>
      </c>
      <c r="F12" s="4" t="inlineStr">
        <is>
          <t>Verificar no cadastro</t>
        </is>
      </c>
      <c r="G12" s="4" t="inlineStr">
        <is>
          <t>Já lista outros lava jatos de Coronel Fabriciano. Categoria: Lava-Rápido - Estética Automotiva.</t>
        </is>
      </c>
      <c r="H12" s="4" t="inlineStr">
        <is>
          <t>https://lavajatobeirario.com.br/?utm_source=solutudo&amp;utm_medium=cadastro</t>
        </is>
      </c>
      <c r="I12" s="5" t="inlineStr">
        <is>
          <t>A fazer</t>
        </is>
      </c>
      <c r="J12" s="6" t="inlineStr"/>
      <c r="K12" s="5" t="inlineStr"/>
      <c r="L12" s="5" t="inlineStr">
        <is>
          <t>Se exigir CNPJ, marque "Não se aplica".</t>
        </is>
      </c>
    </row>
    <row r="13" ht="80" customHeight="1">
      <c r="A13" s="4" t="n">
        <v>9</v>
      </c>
      <c r="B13" s="4" t="inlineStr">
        <is>
          <t>TeleListas</t>
        </is>
      </c>
      <c r="C13" s="4" t="inlineStr">
        <is>
          <t>Guia de empresas</t>
        </is>
      </c>
      <c r="D13" s="4" t="inlineStr">
        <is>
          <t>https://www.telelistas.net (anuncie grátis)</t>
        </is>
      </c>
      <c r="E13" s="4" t="inlineStr">
        <is>
          <t>Grátis (plano básico)</t>
        </is>
      </c>
      <c r="F13" s="4" t="inlineStr">
        <is>
          <t>Verificar no cadastro</t>
        </is>
      </c>
      <c r="G13" s="4" t="inlineStr">
        <is>
          <t>Cadastro básico gratuito na categoria Lava-Rápido e Polimento de Automóveis.</t>
        </is>
      </c>
      <c r="H13" s="4" t="inlineStr">
        <is>
          <t>https://lavajatobeirario.com.br/?utm_source=telelistas&amp;utm_medium=cadastro</t>
        </is>
      </c>
      <c r="I13" s="5" t="inlineStr">
        <is>
          <t>A fazer</t>
        </is>
      </c>
      <c r="J13" s="6" t="inlineStr"/>
      <c r="K13" s="5" t="inlineStr"/>
      <c r="L13" s="5" t="inlineStr"/>
    </row>
    <row r="14" ht="80" customHeight="1">
      <c r="A14" s="4" t="n">
        <v>10</v>
      </c>
      <c r="B14" s="4" t="inlineStr">
        <is>
          <t>Apontador</t>
        </is>
      </c>
      <c r="C14" s="4" t="inlineStr">
        <is>
          <t>Guia de empresas</t>
        </is>
      </c>
      <c r="D14" s="4" t="inlineStr">
        <is>
          <t>https://www.apontador.com.br</t>
        </is>
      </c>
      <c r="E14" s="4" t="inlineStr">
        <is>
          <t>Grátis (plano básico)</t>
        </is>
      </c>
      <c r="F14" s="4" t="inlineStr">
        <is>
          <t>Verificar no cadastro</t>
        </is>
      </c>
      <c r="G14" s="4" t="inlineStr">
        <is>
          <t>Tem páginas de Coronel Fabriciano. Procure o lava jato; se não existir, use "Cadastre sua empresa".</t>
        </is>
      </c>
      <c r="H14" s="4" t="inlineStr">
        <is>
          <t>https://lavajatobeirario.com.br/?utm_source=apontador&amp;utm_medium=cadastro</t>
        </is>
      </c>
      <c r="I14" s="5" t="inlineStr">
        <is>
          <t>A fazer</t>
        </is>
      </c>
      <c r="J14" s="6" t="inlineStr"/>
      <c r="K14" s="5" t="inlineStr"/>
      <c r="L14" s="5" t="inlineStr"/>
    </row>
    <row r="15" ht="80" customHeight="1">
      <c r="A15" s="4" t="n">
        <v>11</v>
      </c>
      <c r="B15" s="4" t="inlineStr">
        <is>
          <t>Facebook (página)</t>
        </is>
      </c>
      <c r="C15" s="4" t="inlineStr">
        <is>
          <t>Rede social</t>
        </is>
      </c>
      <c r="D15" s="4" t="inlineStr">
        <is>
          <t>https://www.facebook.com/pages/create</t>
        </is>
      </c>
      <c r="E15" s="4" t="inlineStr">
        <is>
          <t>Grátis</t>
        </is>
      </c>
      <c r="F15" s="4" t="inlineStr">
        <is>
          <t>Não</t>
        </is>
      </c>
      <c r="G15" s="4" t="inlineStr">
        <is>
          <t>Deixar para quando a arte do Instagram estiver pronta. Nome da página igual ao do Google.</t>
        </is>
      </c>
      <c r="H15" s="4" t="inlineStr">
        <is>
          <t>https://lavajatobeirario.com.br/?utm_source=facebook&amp;utm_medium=cadastro</t>
        </is>
      </c>
      <c r="I15" s="5" t="inlineStr">
        <is>
          <t>Depois</t>
        </is>
      </c>
      <c r="J15" s="6" t="inlineStr"/>
      <c r="K15" s="5" t="inlineStr"/>
      <c r="L15" s="5" t="inlineStr">
        <is>
          <t>Decidido: redes sociais só depois.</t>
        </is>
      </c>
    </row>
    <row r="16" ht="80" customHeight="1">
      <c r="A16" s="4" t="n">
        <v>12</v>
      </c>
      <c r="B16" s="4" t="inlineStr">
        <is>
          <t>Instagram @lavajatobeirario.cf</t>
        </is>
      </c>
      <c r="C16" s="4" t="inlineStr">
        <is>
          <t>Rede social</t>
        </is>
      </c>
      <c r="D16" s="4" t="inlineStr">
        <is>
          <t>—</t>
        </is>
      </c>
      <c r="E16" s="4" t="inlineStr">
        <is>
          <t>Grátis</t>
        </is>
      </c>
      <c r="F16" s="4" t="inlineStr">
        <is>
          <t>Não</t>
        </is>
      </c>
      <c r="G16" s="4" t="inlineStr">
        <is>
          <t>Perfil já criado. Colocar o link do site na bio quando a arte estiver pronta.</t>
        </is>
      </c>
      <c r="H16" s="4" t="inlineStr">
        <is>
          <t>https://lavajatobeirario.com.br/?utm_source=instagram&amp;utm_medium=cadastro</t>
        </is>
      </c>
      <c r="I16" s="5" t="inlineStr">
        <is>
          <t>Depois</t>
        </is>
      </c>
      <c r="J16" s="6" t="inlineStr"/>
      <c r="K16" s="5" t="inlineStr"/>
      <c r="L16" s="5" t="inlineStr"/>
    </row>
    <row r="17" ht="80" customHeight="1">
      <c r="A17" s="4" t="n">
        <v>13</v>
      </c>
      <c r="B17" s="4" t="inlineStr">
        <is>
          <t>World Car Centro Automotivo (parceiro)</t>
        </is>
      </c>
      <c r="C17" s="4" t="inlineStr">
        <is>
          <t>Indicação local</t>
        </is>
      </c>
      <c r="D17" s="4" t="inlineStr">
        <is>
          <t>Conversa pessoal</t>
        </is>
      </c>
      <c r="E17" s="4" t="inlineStr">
        <is>
          <t>Grátis</t>
        </is>
      </c>
      <c r="F17" s="4" t="inlineStr">
        <is>
          <t>Não</t>
        </is>
      </c>
      <c r="G17" s="4" t="inlineStr">
        <is>
          <t>Não têm site nem Instagram. Combinar indicação no balcão; se criarem Perfil do Google ou Instagram, pedir que citem "Lava Jato Beira Rio".</t>
        </is>
      </c>
      <c r="H17" s="4" t="inlineStr">
        <is>
          <t>—</t>
        </is>
      </c>
      <c r="I17" s="5" t="inlineStr">
        <is>
          <t>A fazer</t>
        </is>
      </c>
      <c r="J17" s="6" t="inlineStr"/>
      <c r="K17" s="5" t="inlineStr"/>
      <c r="L17" s="5" t="inlineStr"/>
    </row>
    <row r="18" ht="80" customHeight="1">
      <c r="A18" s="4" t="n">
        <v>14</v>
      </c>
      <c r="B18" s="4" t="inlineStr">
        <is>
          <t>ACICEL-CDL Coronel Fabriciano</t>
        </is>
      </c>
      <c r="C18" s="4" t="inlineStr">
        <is>
          <t>Associação comercial</t>
        </is>
      </c>
      <c r="D18" s="4" t="inlineStr">
        <is>
          <t>https://acicelcdl.com.br/associados/</t>
        </is>
      </c>
      <c r="E18" s="4" t="inlineStr">
        <is>
          <t>Pago (mensalidade)</t>
        </is>
      </c>
      <c r="F18" s="4" t="inlineStr">
        <is>
          <t>Em geral, sim</t>
        </is>
      </c>
      <c r="G18" s="4" t="inlineStr">
        <is>
          <t>A página de associados lista as empresas. Só vale se quiserem se associar — fora do plano gratuito.</t>
        </is>
      </c>
      <c r="H18" s="4" t="inlineStr">
        <is>
          <t>https://lavajatobeirario.com.br/?utm_source=acicel&amp;utm_medium=cadastro</t>
        </is>
      </c>
      <c r="I18" s="5" t="inlineStr">
        <is>
          <t>Não se aplica</t>
        </is>
      </c>
      <c r="J18" s="6" t="inlineStr"/>
      <c r="K18" s="5" t="inlineStr"/>
      <c r="L18" s="5" t="inlineStr">
        <is>
          <t>O site estava fora do ar (erro 503) no teste de 16/09/2026.</t>
        </is>
      </c>
    </row>
    <row r="19" ht="80" customHeight="1">
      <c r="A19" s="4" t="n">
        <v>15</v>
      </c>
      <c r="B19" s="4" t="inlineStr">
        <is>
          <t>Diário do Aço / Plox / Vale 24 Horas</t>
        </is>
      </c>
      <c r="C19" s="4" t="inlineStr">
        <is>
          <t>Portais de notícia da região</t>
        </is>
      </c>
      <c r="D19" s="4" t="inlineStr">
        <is>
          <t>https://www.diariodoaco.com.br · https://plox.com.br · https://vale24horas.com.br</t>
        </is>
      </c>
      <c r="E19" s="4" t="inlineStr">
        <is>
          <t>Grátis (pauta) / pago (anúncio)</t>
        </is>
      </c>
      <c r="F19" s="4" t="inlineStr">
        <is>
          <t>Não</t>
        </is>
      </c>
      <c r="G19" s="4" t="inlineStr">
        <is>
          <t>Não é cadastro: mandar sugestão de pauta só quando houver notícia de verdade (ação beneficente, aniversário do lava jato, mutirão no bairro). Matéria com link vale muito.</t>
        </is>
      </c>
      <c r="H19" s="4" t="inlineStr">
        <is>
          <t>https://lavajatobeirario.com.br/?utm_source=imprensa&amp;utm_medium=cadastro</t>
        </is>
      </c>
      <c r="I19" s="5" t="inlineStr">
        <is>
          <t>Depois</t>
        </is>
      </c>
      <c r="J19" s="6" t="inlineStr"/>
      <c r="K19" s="5" t="inlineStr"/>
      <c r="L19" s="5" t="inlineStr"/>
    </row>
  </sheetData>
  <autoFilter ref="A4:L19"/>
  <mergeCells count="1">
    <mergeCell ref="A2:L2"/>
  </mergeCells>
  <dataValidations count="1">
    <dataValidation sqref="I5:I19" showDropDown="0" showInputMessage="0" showErrorMessage="0" allowBlank="1" type="list">
      <formula1>"A fazer,Em andamento,Feito,Depois,Não se aplica"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1" t="inlineStr">
        <is>
          <t>Andamento dos cadastros</t>
        </is>
      </c>
    </row>
    <row r="3">
      <c r="A3" s="7" t="inlineStr">
        <is>
          <t>Status</t>
        </is>
      </c>
      <c r="B3" s="7" t="inlineStr">
        <is>
          <t>Quantidade</t>
        </is>
      </c>
    </row>
    <row r="4">
      <c r="A4" s="8" t="inlineStr">
        <is>
          <t>A fazer</t>
        </is>
      </c>
      <c r="B4" s="8">
        <f>COUNTIF(Cadastros!$I$5:$I$19,A4)</f>
        <v/>
      </c>
    </row>
    <row r="5">
      <c r="A5" s="8" t="inlineStr">
        <is>
          <t>Em andamento</t>
        </is>
      </c>
      <c r="B5" s="8">
        <f>COUNTIF(Cadastros!$I$5:$I$19,A5)</f>
        <v/>
      </c>
    </row>
    <row r="6">
      <c r="A6" s="8" t="inlineStr">
        <is>
          <t>Feito</t>
        </is>
      </c>
      <c r="B6" s="8">
        <f>COUNTIF(Cadastros!$I$5:$I$19,A6)</f>
        <v/>
      </c>
    </row>
    <row r="7">
      <c r="A7" s="8" t="inlineStr">
        <is>
          <t>Depois</t>
        </is>
      </c>
      <c r="B7" s="8">
        <f>COUNTIF(Cadastros!$I$5:$I$19,A7)</f>
        <v/>
      </c>
    </row>
    <row r="8">
      <c r="A8" s="8" t="inlineStr">
        <is>
          <t>Não se aplica</t>
        </is>
      </c>
      <c r="B8" s="8">
        <f>COUNTIF(Cadastros!$I$5:$I$19,A8)</f>
        <v/>
      </c>
    </row>
    <row r="9">
      <c r="A9" s="9" t="inlineStr">
        <is>
          <t>Total</t>
        </is>
      </c>
      <c r="B9" s="9">
        <f>SUM(B4:B8)</f>
        <v/>
      </c>
    </row>
    <row r="11">
      <c r="A11" s="8" t="inlineStr">
        <is>
          <t>% concluído (Feito ÷ total sem "Não se aplica")</t>
        </is>
      </c>
      <c r="B11" s="10">
        <f>IF(B9-B8=0,0,B6/(B9-B8))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Dados padrão — copie e cole exatamente assim em todo cadastro</t>
        </is>
      </c>
    </row>
    <row r="2" ht="30" customHeight="1">
      <c r="A2" s="2" t="inlineStr">
        <is>
          <t>Qualquer diferença (abreviação, bairro faltando, telefone em outro formato) enfraquece as menções no Google. Célula amarela = ainda falta preencher.</t>
        </is>
      </c>
    </row>
    <row r="4">
      <c r="A4" s="11" t="inlineStr">
        <is>
          <t>Nome</t>
        </is>
      </c>
      <c r="B4" s="4" t="inlineStr">
        <is>
          <t>Lava Jato Beira Rio</t>
        </is>
      </c>
    </row>
    <row r="5">
      <c r="A5" s="11" t="inlineStr">
        <is>
          <t>Endereço completo</t>
        </is>
      </c>
      <c r="B5" s="4" t="inlineStr">
        <is>
          <t>R. Juscelino Kubitscheck, 126 - Mangueiras, Coronel Fabriciano - MG, 35171-291</t>
        </is>
      </c>
    </row>
    <row r="6">
      <c r="A6" s="11" t="inlineStr">
        <is>
          <t>Rua e número</t>
        </is>
      </c>
      <c r="B6" s="4" t="inlineStr">
        <is>
          <t>R. Juscelino Kubitscheck, 126</t>
        </is>
      </c>
    </row>
    <row r="7">
      <c r="A7" s="11" t="inlineStr">
        <is>
          <t>Bairro</t>
        </is>
      </c>
      <c r="B7" s="4" t="inlineStr">
        <is>
          <t>Mangueiras</t>
        </is>
      </c>
    </row>
    <row r="8">
      <c r="A8" s="11" t="inlineStr">
        <is>
          <t>Cidade / UF</t>
        </is>
      </c>
      <c r="B8" s="4" t="inlineStr">
        <is>
          <t>Coronel Fabriciano / MG</t>
        </is>
      </c>
    </row>
    <row r="9">
      <c r="A9" s="11" t="inlineStr">
        <is>
          <t>CEP</t>
        </is>
      </c>
      <c r="B9" s="4" t="inlineStr">
        <is>
          <t>35171-291</t>
        </is>
      </c>
    </row>
    <row r="10">
      <c r="A10" s="11" t="inlineStr">
        <is>
          <t>Telefone e WhatsApp</t>
        </is>
      </c>
      <c r="B10" s="4" t="inlineStr">
        <is>
          <t>(31) 98718-8203</t>
        </is>
      </c>
    </row>
    <row r="11">
      <c r="A11" s="11" t="inlineStr">
        <is>
          <t>Site</t>
        </is>
      </c>
      <c r="B11" s="4" t="inlineStr">
        <is>
          <t>https://lavajatobeirario.com.br</t>
        </is>
      </c>
    </row>
    <row r="12">
      <c r="A12" s="11" t="inlineStr">
        <is>
          <t>E-mail</t>
        </is>
      </c>
      <c r="B12" s="5" t="inlineStr">
        <is>
          <t>[preencher quando criar o e-mail da empresa]</t>
        </is>
      </c>
    </row>
    <row r="13">
      <c r="A13" s="11" t="inlineStr">
        <is>
          <t>Horário</t>
        </is>
      </c>
      <c r="B13" s="4" t="inlineStr">
        <is>
          <t>Segunda a sábado, 7h às 17h · Domingo fechado</t>
        </is>
      </c>
    </row>
    <row r="14">
      <c r="A14" s="11" t="inlineStr">
        <is>
          <t>Categoria principal</t>
        </is>
      </c>
      <c r="B14" s="4" t="inlineStr">
        <is>
          <t>Lava-jato (ou Lava-rápido, conforme o nome usado pelo site)</t>
        </is>
      </c>
    </row>
    <row r="15">
      <c r="A15" s="11" t="inlineStr">
        <is>
          <t>Categorias extras</t>
        </is>
      </c>
      <c r="B15" s="4" t="inlineStr">
        <is>
          <t>Estética automotiva · Lavagem de motos</t>
        </is>
      </c>
    </row>
    <row r="16">
      <c r="A16" s="11" t="inlineStr">
        <is>
          <t>Pagamento</t>
        </is>
      </c>
      <c r="B16" s="4" t="inlineStr">
        <is>
          <t>Pix, dinheiro</t>
        </is>
      </c>
    </row>
    <row r="17" ht="32" customHeight="1">
      <c r="A17" s="11" t="inlineStr">
        <is>
          <t>Descrição curta (até 160 caracteres)</t>
        </is>
      </c>
      <c r="B17" s="4" t="inlineStr">
        <is>
          <t>Lava jato no bairro Mangueiras, em Coronel Fabriciano/MG: ducha, lavagem interna e externa, lavagem geral, chassi, motor, moto e cera Vonixx.</t>
        </is>
      </c>
    </row>
    <row r="18">
      <c r="A18" s="11" t="inlineStr">
        <is>
          <t>Caracteres da descrição curta</t>
        </is>
      </c>
      <c r="B18" s="4">
        <f>LEN(B17)</f>
        <v/>
      </c>
    </row>
    <row r="19" ht="110" customHeight="1">
      <c r="A19" s="11" t="inlineStr">
        <is>
          <t>Descrição longa</t>
        </is>
      </c>
      <c r="B19" s="4" t="inlineStr">
        <is>
          <t>O Lava Jato Beira Rio fica na R. Juscelino Kubitscheck, 126, bairro Mangueiras, em Coronel Fabriciano/MG — conhecido na cidade como Lava Jato do Célio e do Zé Hilton. Faz ducha, lavagem interna e externa (Meia Sola), limpeza interna, lavagem geral completa, lavagem de chassi, lavagem de motor, lavagem de moto e aplicação de cera líquida Vonixx, em carros pequenos, grandes e motos. Atendimento por ordem de chegada, de segunda a sábado, das 7h às 17h; dá para deixar o carro e buscar depois. Busca e entrega do carro (taxa para endereços mais distantes). Pagamento em Pix ou dinheiro. WhatsApp (31) 98718-8203.</t>
        </is>
      </c>
    </row>
    <row r="20">
      <c r="A20" s="11" t="inlineStr">
        <is>
          <t>Caracteres da descrição longa</t>
        </is>
      </c>
      <c r="B20" s="4">
        <f>LEN(B19)</f>
        <v/>
      </c>
    </row>
    <row r="21" ht="32" customHeight="1">
      <c r="A21" s="11" t="inlineStr">
        <is>
          <t>Serviços</t>
        </is>
      </c>
      <c r="B21" s="4" t="inlineStr">
        <is>
          <t>Ducha · Lavagem interna e externa (Meia Sola) · Limpeza interna · Lavagem geral · Lavagem de chassi · Lavagem de motor · Lavagem de moto · Aspiração · Cera líquida Vonixx</t>
        </is>
      </c>
    </row>
    <row r="22">
      <c r="A22" s="11" t="inlineStr">
        <is>
          <t>Logo (link)</t>
        </is>
      </c>
      <c r="B22" s="4" t="inlineStr">
        <is>
          <t>https://lavajatobeirario.com.br/assets/img/logo-icone-carro-frente.png</t>
        </is>
      </c>
    </row>
    <row r="23">
      <c r="A23" s="11" t="inlineStr">
        <is>
          <t>Foto da fachada (link)</t>
        </is>
      </c>
      <c r="B23" s="4" t="inlineStr">
        <is>
          <t>https://lavajatobeirario.com.br/assets/img/fachada-lava-jato-beira-rio.webp</t>
        </is>
      </c>
    </row>
    <row r="24">
      <c r="A24" s="11" t="inlineStr">
        <is>
          <t>Coordenadas</t>
        </is>
      </c>
      <c r="B24" s="4" t="inlineStr">
        <is>
          <t>-19.5311584, -42.6014102</t>
        </is>
      </c>
    </row>
    <row r="25">
      <c r="A25" s="11" t="inlineStr">
        <is>
          <t>Link do Google Maps</t>
        </is>
      </c>
      <c r="B25" s="4" t="inlineStr">
        <is>
          <t>https://maps.app.goo.gl/u4JMRQ2kPdUL1wEH8</t>
        </is>
      </c>
    </row>
  </sheetData>
  <mergeCells count="1">
    <mergeCell ref="A2:B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5" customWidth="1" min="1" max="1"/>
    <col width="90" customWidth="1" min="2" max="2"/>
  </cols>
  <sheetData>
    <row r="1">
      <c r="A1" s="1" t="inlineStr">
        <is>
          <t>Sites avaliados e descartados</t>
        </is>
      </c>
    </row>
    <row r="3">
      <c r="A3" s="7" t="inlineStr">
        <is>
          <t>Site</t>
        </is>
      </c>
      <c r="B3" s="7" t="inlineStr">
        <is>
          <t>Por que não</t>
        </is>
      </c>
    </row>
    <row r="4">
      <c r="A4" s="4" t="inlineStr">
        <is>
          <t>Portal da Cidade Coronel Fabriciano (coronelfabriciano.portaldacidade.com)</t>
        </is>
      </c>
      <c r="B4" s="4" t="inlineStr">
        <is>
          <t>Parado: a página só oferece a franquia, sem guia comercial ativo. O de Ipatinga estava fora do ar em 16/09/2026.</t>
        </is>
      </c>
    </row>
    <row r="5">
      <c r="A5" s="4" t="inlineStr">
        <is>
          <t>Justos (justos.com.br)</t>
        </is>
      </c>
      <c r="B5" s="4" t="inlineStr">
        <is>
          <t>Não tem cadastro: puxa os dados do Google automaticamente. Com o Perfil do Google certo, aparece sozinho.</t>
        </is>
      </c>
    </row>
    <row r="6">
      <c r="A6" s="4" t="inlineStr">
        <is>
          <t>EmpresAqui, CadastroEmpresa e sites de consulta de CNPJ</t>
        </is>
      </c>
      <c r="B6" s="4" t="inlineStr">
        <is>
          <t>Listam empresas a partir do CNPJ da Receita; não aceitam cadastro e o lava jato não tem CNPJ.</t>
        </is>
      </c>
    </row>
    <row r="7">
      <c r="A7" s="4" t="inlineStr">
        <is>
          <t>Serviços que vendem "pacote de backlinks" ou cadastro em 100 diretórios</t>
        </is>
      </c>
      <c r="B7" s="4" t="inlineStr">
        <is>
          <t>Links de baixa qualidade podem prejudicar o site no Google. Melhor poucos cadastros bons, com os dados iguais.</t>
        </is>
      </c>
    </row>
    <row r="8">
      <c r="A8" s="4" t="inlineStr">
        <is>
          <t>Busca Comércio (buscacomercio.com)</t>
        </is>
      </c>
      <c r="B8" s="4" t="inlineStr">
        <is>
          <t>Não tem categoria de lava jato nem opção clara de cadastro.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Sem CNPJ, alguns cadastros ficam fechados</t>
        </is>
      </c>
    </row>
    <row r="3" ht="44" customHeight="1">
      <c r="A3" s="12" t="inlineStr">
        <is>
          <t>Guias como Solutudo, GuiaMais e a ACICEL-CDL costumam pedir CNPJ. Se os donos quiserem formalizar como MEI, o atendimento gratuito em Coronel Fabriciano é:</t>
        </is>
      </c>
    </row>
    <row r="4" ht="44" customHeight="1">
      <c r="A4" s="12" t="inlineStr">
        <is>
          <t>Sala Mineira do Empreendedor — Rua Dr. Querubino, 342, Centro, Coronel Fabriciano (em frente ao Mineirão Atacarejo). Parceria Prefeitura + JUCEMG + Sebrae.</t>
        </is>
      </c>
    </row>
    <row r="5" ht="44" customHeight="1">
      <c r="A5" s="12" t="inlineStr">
        <is>
          <t>É só uma informação: formalizar é decisão dos donos e não é necessário para o site nem para o Perfil do Google.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2026-09-16T23:31:19Z</dcterms:created>
  <dcterms:modified xsi:type="dcterms:W3CDTF">2026-09-16T23:31:36Z</dcterms:modified>
</cp:coreProperties>
</file>